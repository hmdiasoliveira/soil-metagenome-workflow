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ge\Downloads\"/>
    </mc:Choice>
  </mc:AlternateContent>
  <xr:revisionPtr revIDLastSave="0" documentId="8_{9F5A1918-1DA1-48A1-B73C-F307FD454B90}" xr6:coauthVersionLast="47" xr6:coauthVersionMax="47" xr10:uidLastSave="{00000000-0000-0000-0000-000000000000}"/>
  <bookViews>
    <workbookView xWindow="-108" yWindow="-108" windowWidth="23256" windowHeight="12456" xr2:uid="{26EF9A38-8440-4718-91E8-1068338D4A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K31" i="1"/>
  <c r="L9" i="1" s="1"/>
  <c r="I28" i="1"/>
  <c r="I29" i="1"/>
  <c r="I24" i="1"/>
  <c r="K24" i="1"/>
  <c r="I23" i="1"/>
  <c r="K23" i="1"/>
  <c r="E24" i="1"/>
  <c r="E2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5" i="1"/>
  <c r="K26" i="1"/>
  <c r="K27" i="1"/>
  <c r="K28" i="1"/>
  <c r="K29" i="1"/>
  <c r="I2" i="1"/>
  <c r="H2" i="1"/>
  <c r="I16" i="1"/>
  <c r="H7" i="1"/>
  <c r="H6" i="1"/>
  <c r="I7" i="1"/>
  <c r="I3" i="1"/>
  <c r="I4" i="1"/>
  <c r="I5" i="1"/>
  <c r="I6" i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5" i="1"/>
  <c r="I26" i="1"/>
  <c r="I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H12" i="1" s="1"/>
  <c r="E13" i="1"/>
  <c r="H13" i="1" s="1"/>
  <c r="E14" i="1"/>
  <c r="H14" i="1" s="1"/>
  <c r="E15" i="1"/>
  <c r="E16" i="1"/>
  <c r="E17" i="1"/>
  <c r="E18" i="1"/>
  <c r="E19" i="1"/>
  <c r="H19" i="1" s="1"/>
  <c r="E20" i="1"/>
  <c r="H20" i="1" s="1"/>
  <c r="E21" i="1"/>
  <c r="E22" i="1"/>
  <c r="E25" i="1"/>
  <c r="E26" i="1"/>
  <c r="E27" i="1"/>
  <c r="H27" i="1" s="1"/>
  <c r="E28" i="1"/>
  <c r="H28" i="1" s="1"/>
  <c r="E29" i="1"/>
  <c r="H29" i="1" s="1"/>
  <c r="E2" i="1"/>
  <c r="L26" i="1" l="1"/>
  <c r="L8" i="1"/>
  <c r="L25" i="1"/>
  <c r="L15" i="1"/>
  <c r="L7" i="1"/>
  <c r="L16" i="1"/>
  <c r="L22" i="1"/>
  <c r="L14" i="1"/>
  <c r="L6" i="1"/>
  <c r="L21" i="1"/>
  <c r="L13" i="1"/>
  <c r="L5" i="1"/>
  <c r="L2" i="1"/>
  <c r="L20" i="1"/>
  <c r="L12" i="1"/>
  <c r="L4" i="1"/>
  <c r="L29" i="1"/>
  <c r="L19" i="1"/>
  <c r="L11" i="1"/>
  <c r="L3" i="1"/>
  <c r="L28" i="1"/>
  <c r="L18" i="1"/>
  <c r="L10" i="1"/>
  <c r="L27" i="1"/>
  <c r="L17" i="1"/>
  <c r="H22" i="1"/>
  <c r="H9" i="1"/>
  <c r="H21" i="1"/>
  <c r="H17" i="1"/>
  <c r="H16" i="1"/>
  <c r="H8" i="1"/>
  <c r="H26" i="1"/>
  <c r="H25" i="1"/>
  <c r="H15" i="1"/>
  <c r="H5" i="1"/>
  <c r="H4" i="1"/>
  <c r="H11" i="1"/>
  <c r="H3" i="1"/>
  <c r="H18" i="1"/>
  <c r="H10" i="1"/>
</calcChain>
</file>

<file path=xl/sharedStrings.xml><?xml version="1.0" encoding="utf-8"?>
<sst xmlns="http://schemas.openxmlformats.org/spreadsheetml/2006/main" count="76" uniqueCount="36">
  <si>
    <t>samp.no</t>
  </si>
  <si>
    <t>treatment</t>
  </si>
  <si>
    <t>stock.conc</t>
  </si>
  <si>
    <t>ep.input.ul</t>
  </si>
  <si>
    <t>ep.mass</t>
  </si>
  <si>
    <t>post.ep.conc</t>
  </si>
  <si>
    <t>post.ep.mass</t>
  </si>
  <si>
    <t>loss</t>
  </si>
  <si>
    <t>planned.bar.input</t>
  </si>
  <si>
    <t>o</t>
  </si>
  <si>
    <t>x</t>
  </si>
  <si>
    <t>b1</t>
  </si>
  <si>
    <t>b2</t>
  </si>
  <si>
    <t>b3</t>
  </si>
  <si>
    <t>bar.input.vol</t>
  </si>
  <si>
    <t>avg.bar.input</t>
  </si>
  <si>
    <t>river.plant.biofertiliser</t>
  </si>
  <si>
    <t>river.plant.chemfertiliser</t>
  </si>
  <si>
    <t>river.ungerm.water</t>
  </si>
  <si>
    <t>river.plant.water</t>
  </si>
  <si>
    <t>kowen.ungerm.biofert</t>
  </si>
  <si>
    <t>kowen.plant.biofertiliser</t>
  </si>
  <si>
    <t>kowen.plant.chemfertiliser</t>
  </si>
  <si>
    <t>kowen.plant.water</t>
  </si>
  <si>
    <t>biofert.only</t>
  </si>
  <si>
    <t>river.biofert.noplant</t>
  </si>
  <si>
    <t>kowen.biofert.noplant</t>
  </si>
  <si>
    <t>kowen.water.noplant</t>
  </si>
  <si>
    <t>river.water.noplant</t>
  </si>
  <si>
    <t>barcode.no</t>
  </si>
  <si>
    <t>Bridget.Euc.1</t>
  </si>
  <si>
    <t>Bridget.Euc.2</t>
  </si>
  <si>
    <t>Bridget.Euc.3</t>
  </si>
  <si>
    <t>AVG:</t>
  </si>
  <si>
    <t>desired:</t>
  </si>
  <si>
    <t>DNA.conc.pool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</si>
</sst>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046C-8CA3-4EE5-9175-2626A5CC790B}">
  <dimension ref="A1:N33"/>
  <sheetViews>
    <sheetView tabSelected="1" zoomScale="84" workbookViewId="0">
      <selection activeCell="C36" sqref="C36"/>
    </sheetView>
  </sheetViews>
  <sheetFormatPr defaultRowHeight="14.4" x14ac:dyDescent="0.3"/>
  <cols>
    <col min="1" max="1" width="12.5546875" customWidth="1"/>
    <col min="2" max="2" width="24.21875" customWidth="1"/>
    <col min="3" max="3" width="13.33203125" customWidth="1"/>
    <col min="4" max="5" width="12.88671875" customWidth="1"/>
    <col min="6" max="6" width="13.88671875" customWidth="1"/>
    <col min="7" max="7" width="11.6640625" customWidth="1"/>
    <col min="9" max="9" width="16.109375" customWidth="1"/>
    <col min="11" max="11" width="12.5546875" customWidth="1"/>
    <col min="12" max="12" width="13.109375" customWidth="1"/>
    <col min="13" max="13" width="11.77734375" customWidth="1"/>
    <col min="14" max="14" width="15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15</v>
      </c>
      <c r="L1" t="s">
        <v>14</v>
      </c>
      <c r="M1" t="s">
        <v>29</v>
      </c>
      <c r="N1" t="s">
        <v>35</v>
      </c>
    </row>
    <row r="2" spans="1:14" x14ac:dyDescent="0.3">
      <c r="A2">
        <v>1</v>
      </c>
      <c r="B2" t="s">
        <v>16</v>
      </c>
      <c r="C2">
        <v>14.3</v>
      </c>
      <c r="D2">
        <v>17</v>
      </c>
      <c r="E2">
        <f t="shared" ref="E2:E24" si="0">C2*D2</f>
        <v>243.10000000000002</v>
      </c>
      <c r="F2">
        <v>17.5</v>
      </c>
      <c r="G2">
        <f>F2*10</f>
        <v>175</v>
      </c>
      <c r="H2">
        <f>((E2-G2)/E2)*100</f>
        <v>28.013163307280962</v>
      </c>
      <c r="I2">
        <f>F2*4</f>
        <v>70</v>
      </c>
      <c r="J2" t="s">
        <v>9</v>
      </c>
      <c r="K2">
        <f>F2*3</f>
        <v>52.5</v>
      </c>
      <c r="L2">
        <f>$K$31/F2</f>
        <v>2.7037402597402598</v>
      </c>
      <c r="M2">
        <v>1</v>
      </c>
      <c r="N2">
        <v>6.38</v>
      </c>
    </row>
    <row r="3" spans="1:14" x14ac:dyDescent="0.3">
      <c r="A3">
        <v>2</v>
      </c>
      <c r="B3" t="s">
        <v>16</v>
      </c>
      <c r="C3">
        <v>161</v>
      </c>
      <c r="D3">
        <v>2</v>
      </c>
      <c r="E3">
        <f t="shared" si="0"/>
        <v>322</v>
      </c>
      <c r="F3">
        <v>16.2</v>
      </c>
      <c r="G3">
        <f t="shared" ref="G3:G29" si="1">F3*10</f>
        <v>162</v>
      </c>
      <c r="H3">
        <f t="shared" ref="H2:H7" si="2">((E3-G3)/E3)*100</f>
        <v>49.689440993788821</v>
      </c>
      <c r="I3">
        <f t="shared" ref="I2:I7" si="3">F3*4</f>
        <v>64.8</v>
      </c>
      <c r="J3" t="s">
        <v>9</v>
      </c>
      <c r="K3">
        <f t="shared" ref="K3:K29" si="4">F3*3</f>
        <v>48.599999999999994</v>
      </c>
      <c r="L3">
        <f t="shared" ref="L3:L29" si="5">$K$31/F3</f>
        <v>2.920707070707071</v>
      </c>
      <c r="M3">
        <v>2</v>
      </c>
    </row>
    <row r="4" spans="1:14" x14ac:dyDescent="0.3">
      <c r="A4">
        <v>3</v>
      </c>
      <c r="B4" t="s">
        <v>16</v>
      </c>
      <c r="C4">
        <v>75</v>
      </c>
      <c r="D4">
        <v>4</v>
      </c>
      <c r="E4">
        <f t="shared" si="0"/>
        <v>300</v>
      </c>
      <c r="F4">
        <v>17.399999999999999</v>
      </c>
      <c r="G4">
        <f t="shared" si="1"/>
        <v>174</v>
      </c>
      <c r="H4">
        <f t="shared" si="2"/>
        <v>42</v>
      </c>
      <c r="I4">
        <f t="shared" si="3"/>
        <v>69.599999999999994</v>
      </c>
      <c r="J4" t="s">
        <v>9</v>
      </c>
      <c r="K4">
        <f t="shared" si="4"/>
        <v>52.199999999999996</v>
      </c>
      <c r="L4">
        <f t="shared" si="5"/>
        <v>2.7192789968652042</v>
      </c>
      <c r="M4">
        <v>3</v>
      </c>
    </row>
    <row r="5" spans="1:14" x14ac:dyDescent="0.3">
      <c r="A5">
        <v>6</v>
      </c>
      <c r="B5" t="s">
        <v>17</v>
      </c>
      <c r="C5">
        <v>16.5</v>
      </c>
      <c r="D5">
        <v>15</v>
      </c>
      <c r="E5">
        <f t="shared" si="0"/>
        <v>247.5</v>
      </c>
      <c r="F5">
        <v>15.9</v>
      </c>
      <c r="G5">
        <f t="shared" si="1"/>
        <v>159</v>
      </c>
      <c r="H5">
        <f t="shared" si="2"/>
        <v>35.757575757575758</v>
      </c>
      <c r="I5">
        <f t="shared" si="3"/>
        <v>63.6</v>
      </c>
      <c r="J5" t="s">
        <v>9</v>
      </c>
      <c r="K5">
        <f t="shared" si="4"/>
        <v>47.7</v>
      </c>
      <c r="L5">
        <f t="shared" si="5"/>
        <v>2.9758147512864497</v>
      </c>
      <c r="M5">
        <v>4</v>
      </c>
    </row>
    <row r="6" spans="1:14" x14ac:dyDescent="0.3">
      <c r="A6">
        <v>7</v>
      </c>
      <c r="B6" t="s">
        <v>17</v>
      </c>
      <c r="C6">
        <v>8.83</v>
      </c>
      <c r="D6">
        <v>17</v>
      </c>
      <c r="E6">
        <f t="shared" si="0"/>
        <v>150.11000000000001</v>
      </c>
      <c r="F6">
        <v>9.26</v>
      </c>
      <c r="G6">
        <f t="shared" si="1"/>
        <v>92.6</v>
      </c>
      <c r="H6">
        <f t="shared" si="2"/>
        <v>38.311904603290934</v>
      </c>
      <c r="I6">
        <f t="shared" si="3"/>
        <v>37.04</v>
      </c>
      <c r="J6" t="s">
        <v>9</v>
      </c>
      <c r="K6">
        <f t="shared" si="4"/>
        <v>27.78</v>
      </c>
      <c r="L6">
        <f t="shared" si="5"/>
        <v>5.1096603180836446</v>
      </c>
      <c r="M6">
        <v>5</v>
      </c>
    </row>
    <row r="7" spans="1:14" x14ac:dyDescent="0.3">
      <c r="A7">
        <v>8</v>
      </c>
      <c r="B7" t="s">
        <v>17</v>
      </c>
      <c r="C7">
        <v>7.71</v>
      </c>
      <c r="D7">
        <v>17</v>
      </c>
      <c r="E7">
        <f t="shared" si="0"/>
        <v>131.07</v>
      </c>
      <c r="F7">
        <v>5.64</v>
      </c>
      <c r="G7">
        <f t="shared" si="1"/>
        <v>56.4</v>
      </c>
      <c r="H7">
        <f t="shared" si="2"/>
        <v>56.969558251316087</v>
      </c>
      <c r="I7">
        <f t="shared" si="3"/>
        <v>22.56</v>
      </c>
      <c r="J7" t="s">
        <v>9</v>
      </c>
      <c r="K7">
        <f t="shared" si="4"/>
        <v>16.919999999999998</v>
      </c>
      <c r="L7">
        <f t="shared" si="5"/>
        <v>8.3892649903288206</v>
      </c>
      <c r="M7">
        <v>6</v>
      </c>
    </row>
    <row r="8" spans="1:14" x14ac:dyDescent="0.3">
      <c r="A8">
        <v>11</v>
      </c>
      <c r="B8" t="s">
        <v>18</v>
      </c>
      <c r="C8">
        <v>30.1</v>
      </c>
      <c r="D8">
        <v>8</v>
      </c>
      <c r="E8">
        <f t="shared" si="0"/>
        <v>240.8</v>
      </c>
      <c r="F8">
        <v>13.5</v>
      </c>
      <c r="G8">
        <f t="shared" si="1"/>
        <v>135</v>
      </c>
      <c r="H8">
        <f t="shared" ref="H8:H24" si="6">((E8-G8)/E8)*100</f>
        <v>43.93687707641196</v>
      </c>
      <c r="I8">
        <f t="shared" ref="I8:I24" si="7">F8*4</f>
        <v>54</v>
      </c>
      <c r="J8" t="s">
        <v>9</v>
      </c>
      <c r="K8">
        <f t="shared" si="4"/>
        <v>40.5</v>
      </c>
      <c r="L8">
        <f t="shared" si="5"/>
        <v>3.5048484848484853</v>
      </c>
      <c r="M8">
        <v>7</v>
      </c>
    </row>
    <row r="9" spans="1:14" x14ac:dyDescent="0.3">
      <c r="A9">
        <v>12</v>
      </c>
      <c r="B9" t="s">
        <v>18</v>
      </c>
      <c r="C9">
        <v>25.2</v>
      </c>
      <c r="D9">
        <v>10</v>
      </c>
      <c r="E9">
        <f t="shared" si="0"/>
        <v>252</v>
      </c>
      <c r="F9">
        <v>15.8</v>
      </c>
      <c r="G9">
        <f t="shared" si="1"/>
        <v>158</v>
      </c>
      <c r="H9">
        <f t="shared" si="6"/>
        <v>37.301587301587304</v>
      </c>
      <c r="I9">
        <f t="shared" si="7"/>
        <v>63.2</v>
      </c>
      <c r="J9" t="s">
        <v>9</v>
      </c>
      <c r="K9">
        <f t="shared" si="4"/>
        <v>47.400000000000006</v>
      </c>
      <c r="L9">
        <f t="shared" si="5"/>
        <v>2.9946490218642117</v>
      </c>
      <c r="M9">
        <v>8</v>
      </c>
    </row>
    <row r="10" spans="1:14" x14ac:dyDescent="0.3">
      <c r="A10">
        <v>13</v>
      </c>
      <c r="B10" t="s">
        <v>19</v>
      </c>
      <c r="C10">
        <v>29</v>
      </c>
      <c r="D10">
        <v>8</v>
      </c>
      <c r="E10">
        <f t="shared" si="0"/>
        <v>232</v>
      </c>
      <c r="F10">
        <v>13.3</v>
      </c>
      <c r="G10">
        <f t="shared" si="1"/>
        <v>133</v>
      </c>
      <c r="H10">
        <f t="shared" si="6"/>
        <v>42.672413793103445</v>
      </c>
      <c r="I10">
        <f t="shared" si="7"/>
        <v>53.2</v>
      </c>
      <c r="J10" t="s">
        <v>9</v>
      </c>
      <c r="K10">
        <f t="shared" si="4"/>
        <v>39.900000000000006</v>
      </c>
      <c r="L10">
        <f t="shared" si="5"/>
        <v>3.5575529733424474</v>
      </c>
      <c r="M10">
        <v>9</v>
      </c>
    </row>
    <row r="11" spans="1:14" x14ac:dyDescent="0.3">
      <c r="A11">
        <v>14</v>
      </c>
      <c r="B11" t="s">
        <v>19</v>
      </c>
      <c r="C11">
        <v>21.6</v>
      </c>
      <c r="D11">
        <v>12</v>
      </c>
      <c r="E11">
        <f t="shared" si="0"/>
        <v>259.20000000000005</v>
      </c>
      <c r="F11">
        <v>16.8</v>
      </c>
      <c r="G11">
        <f t="shared" si="1"/>
        <v>168</v>
      </c>
      <c r="H11">
        <f t="shared" si="6"/>
        <v>35.185185185185198</v>
      </c>
      <c r="I11">
        <f t="shared" si="7"/>
        <v>67.2</v>
      </c>
      <c r="J11" t="s">
        <v>9</v>
      </c>
      <c r="K11">
        <f t="shared" si="4"/>
        <v>50.400000000000006</v>
      </c>
      <c r="L11">
        <f t="shared" si="5"/>
        <v>2.8163961038961038</v>
      </c>
      <c r="M11">
        <v>10</v>
      </c>
    </row>
    <row r="12" spans="1:14" x14ac:dyDescent="0.3">
      <c r="A12">
        <v>15</v>
      </c>
      <c r="B12" t="s">
        <v>19</v>
      </c>
      <c r="C12">
        <v>19.2</v>
      </c>
      <c r="D12">
        <v>13</v>
      </c>
      <c r="E12">
        <f t="shared" si="0"/>
        <v>249.6</v>
      </c>
      <c r="F12">
        <v>5.68</v>
      </c>
      <c r="G12">
        <f t="shared" si="1"/>
        <v>56.8</v>
      </c>
      <c r="H12">
        <f t="shared" si="6"/>
        <v>77.243589743589752</v>
      </c>
      <c r="I12">
        <f t="shared" si="7"/>
        <v>22.72</v>
      </c>
      <c r="J12" t="s">
        <v>9</v>
      </c>
      <c r="K12">
        <f t="shared" si="4"/>
        <v>17.04</v>
      </c>
      <c r="L12">
        <f t="shared" si="5"/>
        <v>8.3301856594110131</v>
      </c>
      <c r="M12">
        <v>11</v>
      </c>
    </row>
    <row r="13" spans="1:14" x14ac:dyDescent="0.3">
      <c r="A13">
        <v>16</v>
      </c>
      <c r="B13" t="s">
        <v>20</v>
      </c>
      <c r="C13">
        <v>117</v>
      </c>
      <c r="D13">
        <v>2</v>
      </c>
      <c r="E13">
        <f t="shared" si="0"/>
        <v>234</v>
      </c>
      <c r="F13">
        <v>11.8</v>
      </c>
      <c r="G13">
        <f t="shared" si="1"/>
        <v>118</v>
      </c>
      <c r="H13">
        <f t="shared" si="6"/>
        <v>49.572649572649574</v>
      </c>
      <c r="I13">
        <f t="shared" si="7"/>
        <v>47.2</v>
      </c>
      <c r="J13" t="s">
        <v>9</v>
      </c>
      <c r="K13">
        <f t="shared" si="4"/>
        <v>35.400000000000006</v>
      </c>
      <c r="L13">
        <f t="shared" si="5"/>
        <v>4.0097842835130972</v>
      </c>
      <c r="M13">
        <v>12</v>
      </c>
    </row>
    <row r="14" spans="1:14" x14ac:dyDescent="0.3">
      <c r="A14">
        <v>17</v>
      </c>
      <c r="B14" t="s">
        <v>20</v>
      </c>
      <c r="C14">
        <v>154</v>
      </c>
      <c r="D14">
        <v>2</v>
      </c>
      <c r="E14">
        <f t="shared" si="0"/>
        <v>308</v>
      </c>
      <c r="F14">
        <v>24.5</v>
      </c>
      <c r="G14">
        <f t="shared" si="1"/>
        <v>245</v>
      </c>
      <c r="H14">
        <f t="shared" si="6"/>
        <v>20.454545454545457</v>
      </c>
      <c r="I14">
        <f t="shared" si="7"/>
        <v>98</v>
      </c>
      <c r="J14" t="s">
        <v>9</v>
      </c>
      <c r="K14">
        <f t="shared" si="4"/>
        <v>73.5</v>
      </c>
      <c r="L14">
        <f t="shared" si="5"/>
        <v>1.9312430426716143</v>
      </c>
      <c r="M14">
        <v>13</v>
      </c>
    </row>
    <row r="15" spans="1:14" x14ac:dyDescent="0.3">
      <c r="A15">
        <v>18</v>
      </c>
      <c r="B15" t="s">
        <v>21</v>
      </c>
      <c r="C15">
        <v>101</v>
      </c>
      <c r="D15">
        <v>3</v>
      </c>
      <c r="E15">
        <f t="shared" si="0"/>
        <v>303</v>
      </c>
      <c r="F15">
        <v>19.899999999999999</v>
      </c>
      <c r="G15">
        <f t="shared" si="1"/>
        <v>199</v>
      </c>
      <c r="H15">
        <f t="shared" si="6"/>
        <v>34.323432343234323</v>
      </c>
      <c r="I15">
        <f t="shared" si="7"/>
        <v>79.599999999999994</v>
      </c>
      <c r="J15" t="s">
        <v>9</v>
      </c>
      <c r="K15">
        <f t="shared" si="4"/>
        <v>59.699999999999996</v>
      </c>
      <c r="L15">
        <f t="shared" si="5"/>
        <v>2.3776610324349021</v>
      </c>
      <c r="M15">
        <v>14</v>
      </c>
    </row>
    <row r="16" spans="1:14" x14ac:dyDescent="0.3">
      <c r="A16">
        <v>19</v>
      </c>
      <c r="B16" t="s">
        <v>21</v>
      </c>
      <c r="C16">
        <v>76</v>
      </c>
      <c r="D16">
        <v>3</v>
      </c>
      <c r="E16">
        <f t="shared" si="0"/>
        <v>228</v>
      </c>
      <c r="F16">
        <v>14.6</v>
      </c>
      <c r="G16">
        <f t="shared" si="1"/>
        <v>146</v>
      </c>
      <c r="H16">
        <f t="shared" si="6"/>
        <v>35.964912280701753</v>
      </c>
      <c r="I16">
        <f>F16*4</f>
        <v>58.4</v>
      </c>
      <c r="J16" t="s">
        <v>9</v>
      </c>
      <c r="K16">
        <f t="shared" si="4"/>
        <v>43.8</v>
      </c>
      <c r="L16">
        <f t="shared" si="5"/>
        <v>3.2407845579078458</v>
      </c>
      <c r="M16">
        <v>15</v>
      </c>
    </row>
    <row r="17" spans="1:13" x14ac:dyDescent="0.3">
      <c r="A17">
        <v>20</v>
      </c>
      <c r="B17" t="s">
        <v>21</v>
      </c>
      <c r="C17">
        <v>92.8</v>
      </c>
      <c r="D17">
        <v>3</v>
      </c>
      <c r="E17">
        <f t="shared" si="0"/>
        <v>278.39999999999998</v>
      </c>
      <c r="F17">
        <v>20</v>
      </c>
      <c r="G17">
        <f t="shared" si="1"/>
        <v>200</v>
      </c>
      <c r="H17">
        <f t="shared" si="6"/>
        <v>28.160919540229877</v>
      </c>
      <c r="I17">
        <f t="shared" si="7"/>
        <v>80</v>
      </c>
      <c r="J17" t="s">
        <v>9</v>
      </c>
      <c r="K17">
        <f t="shared" si="4"/>
        <v>60</v>
      </c>
      <c r="L17">
        <f t="shared" si="5"/>
        <v>2.3657727272727276</v>
      </c>
      <c r="M17">
        <v>16</v>
      </c>
    </row>
    <row r="18" spans="1:13" x14ac:dyDescent="0.3">
      <c r="A18">
        <v>22</v>
      </c>
      <c r="B18" t="s">
        <v>22</v>
      </c>
      <c r="C18">
        <v>171</v>
      </c>
      <c r="D18">
        <v>2</v>
      </c>
      <c r="E18">
        <f t="shared" si="0"/>
        <v>342</v>
      </c>
      <c r="F18">
        <v>22.9</v>
      </c>
      <c r="G18">
        <f t="shared" si="1"/>
        <v>229</v>
      </c>
      <c r="H18">
        <f t="shared" si="6"/>
        <v>33.040935672514621</v>
      </c>
      <c r="I18">
        <f t="shared" si="7"/>
        <v>91.6</v>
      </c>
      <c r="J18" t="s">
        <v>9</v>
      </c>
      <c r="K18">
        <f t="shared" si="4"/>
        <v>68.699999999999989</v>
      </c>
      <c r="L18">
        <f t="shared" si="5"/>
        <v>2.0661770543866615</v>
      </c>
      <c r="M18">
        <v>17</v>
      </c>
    </row>
    <row r="19" spans="1:13" x14ac:dyDescent="0.3">
      <c r="A19">
        <v>23</v>
      </c>
      <c r="B19" t="s">
        <v>22</v>
      </c>
      <c r="C19">
        <v>79.400000000000006</v>
      </c>
      <c r="D19">
        <v>3</v>
      </c>
      <c r="E19">
        <f t="shared" si="0"/>
        <v>238.20000000000002</v>
      </c>
      <c r="F19">
        <v>14.5</v>
      </c>
      <c r="G19">
        <f t="shared" si="1"/>
        <v>145</v>
      </c>
      <c r="H19">
        <f t="shared" si="6"/>
        <v>39.126784214945424</v>
      </c>
      <c r="I19">
        <f t="shared" si="7"/>
        <v>58</v>
      </c>
      <c r="J19" t="s">
        <v>9</v>
      </c>
      <c r="K19">
        <f t="shared" si="4"/>
        <v>43.5</v>
      </c>
      <c r="L19">
        <f t="shared" si="5"/>
        <v>3.2631347962382447</v>
      </c>
      <c r="M19">
        <v>18</v>
      </c>
    </row>
    <row r="20" spans="1:13" x14ac:dyDescent="0.3">
      <c r="A20">
        <v>26</v>
      </c>
      <c r="B20" t="s">
        <v>23</v>
      </c>
      <c r="C20">
        <v>147</v>
      </c>
      <c r="D20">
        <v>2</v>
      </c>
      <c r="E20">
        <f t="shared" si="0"/>
        <v>294</v>
      </c>
      <c r="F20">
        <v>19.399999999999999</v>
      </c>
      <c r="G20">
        <f t="shared" si="1"/>
        <v>194</v>
      </c>
      <c r="H20">
        <f t="shared" si="6"/>
        <v>34.013605442176868</v>
      </c>
      <c r="I20">
        <f t="shared" si="7"/>
        <v>77.599999999999994</v>
      </c>
      <c r="J20" t="s">
        <v>9</v>
      </c>
      <c r="K20">
        <f t="shared" si="4"/>
        <v>58.199999999999996</v>
      </c>
      <c r="L20">
        <f t="shared" si="5"/>
        <v>2.4389409559512658</v>
      </c>
      <c r="M20">
        <v>19</v>
      </c>
    </row>
    <row r="21" spans="1:13" x14ac:dyDescent="0.3">
      <c r="A21">
        <v>28</v>
      </c>
      <c r="B21" t="s">
        <v>23</v>
      </c>
      <c r="C21">
        <v>73.599999999999994</v>
      </c>
      <c r="D21">
        <v>3</v>
      </c>
      <c r="E21">
        <f t="shared" si="0"/>
        <v>220.79999999999998</v>
      </c>
      <c r="F21">
        <v>16.2</v>
      </c>
      <c r="G21">
        <f t="shared" si="1"/>
        <v>162</v>
      </c>
      <c r="H21">
        <f t="shared" si="6"/>
        <v>26.630434782608692</v>
      </c>
      <c r="I21">
        <f t="shared" si="7"/>
        <v>64.8</v>
      </c>
      <c r="J21" t="s">
        <v>9</v>
      </c>
      <c r="K21">
        <f t="shared" si="4"/>
        <v>48.599999999999994</v>
      </c>
      <c r="L21">
        <f t="shared" si="5"/>
        <v>2.920707070707071</v>
      </c>
      <c r="M21">
        <v>20</v>
      </c>
    </row>
    <row r="22" spans="1:13" x14ac:dyDescent="0.3">
      <c r="A22">
        <v>31</v>
      </c>
      <c r="B22" t="s">
        <v>24</v>
      </c>
      <c r="C22">
        <v>340</v>
      </c>
      <c r="D22">
        <v>1</v>
      </c>
      <c r="E22">
        <f t="shared" si="0"/>
        <v>340</v>
      </c>
      <c r="F22">
        <v>84.2</v>
      </c>
      <c r="G22">
        <f t="shared" si="1"/>
        <v>842</v>
      </c>
      <c r="H22">
        <f t="shared" si="6"/>
        <v>-147.64705882352942</v>
      </c>
      <c r="I22">
        <f t="shared" si="7"/>
        <v>336.8</v>
      </c>
      <c r="J22" t="s">
        <v>9</v>
      </c>
      <c r="K22">
        <f t="shared" si="4"/>
        <v>252.60000000000002</v>
      </c>
      <c r="L22">
        <f t="shared" si="5"/>
        <v>0.56194126538544598</v>
      </c>
      <c r="M22">
        <v>21</v>
      </c>
    </row>
    <row r="23" spans="1:13" x14ac:dyDescent="0.3">
      <c r="A23">
        <v>35</v>
      </c>
      <c r="B23" t="s">
        <v>25</v>
      </c>
      <c r="C23">
        <v>0</v>
      </c>
      <c r="D23">
        <v>0</v>
      </c>
      <c r="E23">
        <f t="shared" si="0"/>
        <v>0</v>
      </c>
      <c r="F23">
        <v>0</v>
      </c>
      <c r="G23">
        <f t="shared" si="1"/>
        <v>0</v>
      </c>
      <c r="H23">
        <v>0</v>
      </c>
      <c r="I23">
        <f t="shared" si="7"/>
        <v>0</v>
      </c>
      <c r="J23" t="s">
        <v>10</v>
      </c>
      <c r="K23">
        <f t="shared" si="4"/>
        <v>0</v>
      </c>
      <c r="L23">
        <v>0</v>
      </c>
      <c r="M23" t="s">
        <v>10</v>
      </c>
    </row>
    <row r="24" spans="1:13" x14ac:dyDescent="0.3">
      <c r="A24">
        <v>40</v>
      </c>
      <c r="B24" t="s">
        <v>28</v>
      </c>
      <c r="C24">
        <v>0</v>
      </c>
      <c r="D24">
        <v>0</v>
      </c>
      <c r="E24">
        <f t="shared" si="0"/>
        <v>0</v>
      </c>
      <c r="F24">
        <v>0</v>
      </c>
      <c r="G24">
        <f t="shared" si="1"/>
        <v>0</v>
      </c>
      <c r="H24">
        <v>0</v>
      </c>
      <c r="I24">
        <f t="shared" si="7"/>
        <v>0</v>
      </c>
      <c r="J24" t="s">
        <v>10</v>
      </c>
      <c r="K24">
        <f t="shared" si="4"/>
        <v>0</v>
      </c>
      <c r="L24">
        <v>0</v>
      </c>
      <c r="M24" t="s">
        <v>10</v>
      </c>
    </row>
    <row r="25" spans="1:13" x14ac:dyDescent="0.3">
      <c r="A25">
        <v>43</v>
      </c>
      <c r="B25" t="s">
        <v>26</v>
      </c>
      <c r="C25">
        <v>73.400000000000006</v>
      </c>
      <c r="D25">
        <v>4</v>
      </c>
      <c r="E25">
        <f>C25*D25</f>
        <v>293.60000000000002</v>
      </c>
      <c r="F25">
        <v>21.3</v>
      </c>
      <c r="G25">
        <f t="shared" si="1"/>
        <v>213</v>
      </c>
      <c r="H25">
        <f>((E25-G25)/E25)*100</f>
        <v>27.452316076294281</v>
      </c>
      <c r="I25">
        <f>F25*4</f>
        <v>85.2</v>
      </c>
      <c r="J25" t="s">
        <v>9</v>
      </c>
      <c r="K25">
        <f t="shared" si="4"/>
        <v>63.900000000000006</v>
      </c>
      <c r="L25">
        <f t="shared" si="5"/>
        <v>2.2213828425096032</v>
      </c>
      <c r="M25">
        <v>22</v>
      </c>
    </row>
    <row r="26" spans="1:13" x14ac:dyDescent="0.3">
      <c r="A26">
        <v>50</v>
      </c>
      <c r="B26" t="s">
        <v>27</v>
      </c>
      <c r="C26">
        <v>47.7</v>
      </c>
      <c r="D26">
        <v>5</v>
      </c>
      <c r="E26">
        <f>C26*D26</f>
        <v>238.5</v>
      </c>
      <c r="F26">
        <v>14.9</v>
      </c>
      <c r="G26">
        <f t="shared" si="1"/>
        <v>149</v>
      </c>
      <c r="H26">
        <f>((E26-G26)/E26)*100</f>
        <v>37.526205450733755</v>
      </c>
      <c r="I26">
        <f>F26*4</f>
        <v>59.6</v>
      </c>
      <c r="J26" t="s">
        <v>9</v>
      </c>
      <c r="K26">
        <f t="shared" si="4"/>
        <v>44.7</v>
      </c>
      <c r="L26">
        <f t="shared" si="5"/>
        <v>3.1755338621110436</v>
      </c>
      <c r="M26">
        <v>23</v>
      </c>
    </row>
    <row r="27" spans="1:13" x14ac:dyDescent="0.3">
      <c r="A27" t="s">
        <v>11</v>
      </c>
      <c r="B27" t="s">
        <v>30</v>
      </c>
      <c r="C27" s="1">
        <v>165</v>
      </c>
      <c r="D27">
        <v>2</v>
      </c>
      <c r="E27">
        <f>C27*D27</f>
        <v>330</v>
      </c>
      <c r="F27">
        <v>1.99</v>
      </c>
      <c r="G27">
        <f t="shared" si="1"/>
        <v>19.899999999999999</v>
      </c>
      <c r="H27">
        <f t="shared" ref="H27:H29" si="8">((E27-G27)/E27)*100</f>
        <v>93.969696969696983</v>
      </c>
      <c r="I27">
        <f>F27*4</f>
        <v>7.96</v>
      </c>
      <c r="J27" t="s">
        <v>9</v>
      </c>
      <c r="K27">
        <f t="shared" si="4"/>
        <v>5.97</v>
      </c>
      <c r="L27">
        <f t="shared" si="5"/>
        <v>23.776610324349019</v>
      </c>
      <c r="M27">
        <v>24</v>
      </c>
    </row>
    <row r="28" spans="1:13" x14ac:dyDescent="0.3">
      <c r="A28" t="s">
        <v>12</v>
      </c>
      <c r="B28" t="s">
        <v>31</v>
      </c>
      <c r="C28" s="1">
        <v>155</v>
      </c>
      <c r="D28">
        <v>2</v>
      </c>
      <c r="E28">
        <f>C28*D28</f>
        <v>310</v>
      </c>
      <c r="F28">
        <v>1.8</v>
      </c>
      <c r="G28">
        <f t="shared" si="1"/>
        <v>18</v>
      </c>
      <c r="H28">
        <f t="shared" si="8"/>
        <v>94.193548387096769</v>
      </c>
      <c r="I28">
        <f t="shared" ref="I28:I29" si="9">F28*4</f>
        <v>7.2</v>
      </c>
      <c r="J28" t="s">
        <v>9</v>
      </c>
      <c r="K28">
        <f t="shared" si="4"/>
        <v>5.4</v>
      </c>
      <c r="L28">
        <f t="shared" si="5"/>
        <v>26.286363636363639</v>
      </c>
      <c r="M28">
        <v>25</v>
      </c>
    </row>
    <row r="29" spans="1:13" x14ac:dyDescent="0.3">
      <c r="A29" t="s">
        <v>13</v>
      </c>
      <c r="B29" t="s">
        <v>32</v>
      </c>
      <c r="C29" s="1">
        <v>27</v>
      </c>
      <c r="D29">
        <v>9</v>
      </c>
      <c r="E29">
        <f>C29*D29</f>
        <v>243</v>
      </c>
      <c r="F29">
        <v>1.86</v>
      </c>
      <c r="G29">
        <f t="shared" si="1"/>
        <v>18.600000000000001</v>
      </c>
      <c r="H29">
        <f t="shared" si="8"/>
        <v>92.345679012345684</v>
      </c>
      <c r="I29">
        <f t="shared" si="9"/>
        <v>7.44</v>
      </c>
      <c r="J29" t="s">
        <v>9</v>
      </c>
      <c r="K29">
        <f t="shared" si="4"/>
        <v>5.58</v>
      </c>
      <c r="L29">
        <f t="shared" si="5"/>
        <v>25.438416422287393</v>
      </c>
      <c r="M29">
        <v>26</v>
      </c>
    </row>
    <row r="31" spans="1:13" x14ac:dyDescent="0.3">
      <c r="J31" t="s">
        <v>33</v>
      </c>
      <c r="K31">
        <f>AVERAGE(K2:K21,K25:K26)</f>
        <v>47.31545454545455</v>
      </c>
    </row>
    <row r="32" spans="1:13" x14ac:dyDescent="0.3">
      <c r="H32" t="s">
        <v>34</v>
      </c>
      <c r="I32">
        <f>((300*2)*2)/23</f>
        <v>52.173913043478258</v>
      </c>
    </row>
    <row r="33" spans="9:9" x14ac:dyDescent="0.3">
      <c r="I33">
        <v>38.46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Viraj Kolhapuri</dc:creator>
  <cp:keywords/>
  <dc:description/>
  <cp:lastModifiedBy>Saige Waugh</cp:lastModifiedBy>
  <cp:revision/>
  <dcterms:created xsi:type="dcterms:W3CDTF">2025-09-04T05:27:49Z</dcterms:created>
  <dcterms:modified xsi:type="dcterms:W3CDTF">2025-09-15T09:46:08Z</dcterms:modified>
  <cp:category/>
  <cp:contentStatus/>
</cp:coreProperties>
</file>